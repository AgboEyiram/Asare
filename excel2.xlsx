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23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34C2135A-7248-4CEB-9AAF-57B59EE2DE85}" xr6:coauthVersionLast="47" xr6:coauthVersionMax="47" xr10:uidLastSave="{00000000-0000-0000-0000-000000000000}"/>
  <bookViews>
    <workbookView xWindow="-120" yWindow="-120" windowWidth="20730" windowHeight="11040" xr2:uid="{35E372F4-2D8B-41D2-A8BD-D149E4931549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F27" i="1" l="1"/>
  <c r="E27" i="1"/>
  <c r="D27" i="1"/>
  <c r="C27" i="1"/>
  <c r="F26" i="1"/>
  <c r="E26" i="1"/>
  <c r="D26" i="1"/>
  <c r="C26" i="1"/>
  <c r="F25" i="1"/>
  <c r="E25" i="1"/>
  <c r="D25" i="1"/>
  <c r="C25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M10" i="1" s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L14" i="1" l="1"/>
  <c r="M11" i="1"/>
  <c r="M4" i="1"/>
  <c r="M20" i="1"/>
  <c r="M6" i="1"/>
  <c r="L10" i="1"/>
  <c r="M14" i="1"/>
  <c r="M18" i="1"/>
  <c r="M22" i="1"/>
  <c r="I27" i="1"/>
  <c r="J27" i="1"/>
  <c r="M8" i="1"/>
  <c r="L13" i="1"/>
  <c r="M15" i="1"/>
  <c r="L18" i="1"/>
  <c r="M9" i="1"/>
  <c r="K27" i="1"/>
  <c r="L6" i="1"/>
  <c r="M12" i="1"/>
  <c r="L17" i="1"/>
  <c r="M19" i="1"/>
  <c r="L22" i="1"/>
  <c r="M5" i="1"/>
  <c r="M7" i="1"/>
  <c r="M16" i="1"/>
  <c r="M21" i="1"/>
  <c r="M23" i="1"/>
  <c r="L9" i="1"/>
  <c r="L21" i="1"/>
  <c r="M13" i="1"/>
  <c r="M17" i="1"/>
  <c r="L8" i="1"/>
  <c r="L20" i="1"/>
  <c r="H26" i="1"/>
  <c r="I26" i="1"/>
  <c r="L7" i="1"/>
  <c r="L11" i="1"/>
  <c r="L15" i="1"/>
  <c r="L19" i="1"/>
  <c r="L23" i="1"/>
  <c r="J25" i="1"/>
  <c r="J26" i="1"/>
  <c r="L5" i="1"/>
  <c r="L4" i="1"/>
  <c r="L12" i="1"/>
  <c r="L16" i="1"/>
  <c r="H25" i="1"/>
  <c r="H27" i="1"/>
  <c r="I25" i="1"/>
  <c r="K25" i="1"/>
  <c r="K26" i="1"/>
</calcChain>
</file>

<file path=xl/sharedStrings.xml><?xml version="1.0" encoding="utf-8"?>
<sst xmlns="http://purl.oclc.org/ooxml/spreadsheetml/main" count="57" uniqueCount="46">
  <si>
    <t>GradeBook</t>
  </si>
  <si>
    <t>Safety Test</t>
  </si>
  <si>
    <t>Philosphy test</t>
  </si>
  <si>
    <t>Financial Skills</t>
  </si>
  <si>
    <t>Drug Test</t>
  </si>
  <si>
    <t>Average%</t>
  </si>
  <si>
    <t>Fire Employee</t>
  </si>
  <si>
    <t>Points</t>
  </si>
  <si>
    <t>Last Name</t>
  </si>
  <si>
    <t>First Name</t>
  </si>
  <si>
    <t xml:space="preserve">Agbo </t>
  </si>
  <si>
    <t>Eyiram</t>
  </si>
  <si>
    <t>Wells</t>
  </si>
  <si>
    <t>Elvis</t>
  </si>
  <si>
    <t>Akuffo</t>
  </si>
  <si>
    <t>Jessica</t>
  </si>
  <si>
    <t>Okata</t>
  </si>
  <si>
    <t>David</t>
  </si>
  <si>
    <t>Asare</t>
  </si>
  <si>
    <t>Jennifer</t>
  </si>
  <si>
    <t>Boadi</t>
  </si>
  <si>
    <t>Theophilus</t>
  </si>
  <si>
    <t>Tabiri</t>
  </si>
  <si>
    <t>Daniel</t>
  </si>
  <si>
    <t>Mensah</t>
  </si>
  <si>
    <t>Addo</t>
  </si>
  <si>
    <t>Prince</t>
  </si>
  <si>
    <t>Adwutwumwaa</t>
  </si>
  <si>
    <t>Princess</t>
  </si>
  <si>
    <t>Agyei</t>
  </si>
  <si>
    <t>Dorcas</t>
  </si>
  <si>
    <t>Gloria</t>
  </si>
  <si>
    <t>Saraphine</t>
  </si>
  <si>
    <t>Selasie</t>
  </si>
  <si>
    <t>Lillian</t>
  </si>
  <si>
    <t>Iris</t>
  </si>
  <si>
    <t>Edem</t>
  </si>
  <si>
    <t>Amankwah</t>
  </si>
  <si>
    <t>Christabel</t>
  </si>
  <si>
    <t>Adom</t>
  </si>
  <si>
    <t>Grace</t>
  </si>
  <si>
    <t>Osei</t>
  </si>
  <si>
    <t>Chelsea</t>
  </si>
  <si>
    <t>MAX</t>
  </si>
  <si>
    <t>MIN</t>
  </si>
  <si>
    <t>AVERAGE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</si>
</sst>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0" applyFont="1"/>
    <xf numFmtId="0" fontId="4" fillId="0" borderId="0" xfId="0" applyFont="1" applyAlignment="1">
      <alignment textRotation="90"/>
    </xf>
    <xf numFmtId="0" fontId="5" fillId="0" borderId="0" xfId="0" applyFont="1"/>
    <xf numFmtId="9" fontId="1" fillId="0" borderId="0" xfId="1"/>
    <xf numFmtId="9" fontId="0" fillId="0" borderId="0" xfId="0" applyNumberFormat="1"/>
  </cellXfs>
  <cellStyles count="4">
    <cellStyle name="cf1" xfId="2" xr:uid="{80E0E039-F754-412A-B9BD-4BAE779675E8}"/>
    <cellStyle name="cf2" xfId="3" xr:uid="{4DA73837-778D-4F4E-9D1E-F669E6BA5119}"/>
    <cellStyle name="Normal" xfId="0" builtinId="0" customBuiltin="1"/>
    <cellStyle name="Percent" xfId="1" builtinId="5" customBuiltin="1"/>
  </cellStyles>
  <dxfs count="6">
    <dxf>
      <font>
        <color rgb="FFFF0000"/>
        <family val="2"/>
      </font>
    </dxf>
    <dxf>
      <font>
        <b/>
        <color rgb="FFFF0000"/>
        <family val="2"/>
      </font>
    </dxf>
    <dxf>
      <font>
        <b/>
        <color rgb="FFFF0000"/>
        <family val="2"/>
      </font>
    </dxf>
    <dxf>
      <font>
        <b/>
        <color rgb="FFFF0000"/>
        <family val="2"/>
      </font>
    </dxf>
    <dxf>
      <font>
        <color rgb="FFFF0000"/>
        <family val="2"/>
      </font>
    </dxf>
    <dxf>
      <font>
        <b/>
        <color rgb="FFFF0000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%">
                <a:solidFill>
                  <a:srgbClr val="595959"/>
                </a:solidFill>
                <a:latin typeface="Calibri"/>
              </a:defRPr>
            </a:pPr>
            <a:r>
              <a:rPr lang="en-US" sz="1400" b="0" i="0" u="none" strike="noStrike" kern="1200" cap="none" spc="0" baseline="0%">
                <a:solidFill>
                  <a:srgbClr val="595959"/>
                </a:solidFill>
                <a:uFillTx/>
                <a:latin typeface="Calibri"/>
              </a:rPr>
              <a:t>Safety Test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3.2484315330852866E-2"/>
          <c:y val="0.13702500729075531"/>
          <c:w val="0.95275008679148676"/>
          <c:h val="0.8305672207640711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</c:spPr>
          <c:invertIfNegative val="0"/>
          <c:cat>
            <c:strRef>
              <c:f>Sheet1!$A$4:$A$23</c:f>
              <c:strCache>
                <c:ptCount val="20"/>
                <c:pt idx="0">
                  <c:v>Agbo </c:v>
                </c:pt>
                <c:pt idx="1">
                  <c:v>Wells</c:v>
                </c:pt>
                <c:pt idx="2">
                  <c:v>Akuffo</c:v>
                </c:pt>
                <c:pt idx="3">
                  <c:v>Okata</c:v>
                </c:pt>
                <c:pt idx="4">
                  <c:v>Asare</c:v>
                </c:pt>
                <c:pt idx="5">
                  <c:v>Boadi</c:v>
                </c:pt>
                <c:pt idx="6">
                  <c:v>Tabiri</c:v>
                </c:pt>
                <c:pt idx="7">
                  <c:v>Mensah</c:v>
                </c:pt>
                <c:pt idx="8">
                  <c:v>Addo</c:v>
                </c:pt>
                <c:pt idx="9">
                  <c:v>Adwutwumwaa</c:v>
                </c:pt>
                <c:pt idx="10">
                  <c:v>Agyei</c:v>
                </c:pt>
                <c:pt idx="11">
                  <c:v>Agyei</c:v>
                </c:pt>
                <c:pt idx="12">
                  <c:v>Agbo </c:v>
                </c:pt>
                <c:pt idx="13">
                  <c:v>Agbo </c:v>
                </c:pt>
                <c:pt idx="14">
                  <c:v>Agbo </c:v>
                </c:pt>
                <c:pt idx="15">
                  <c:v>Agbo </c:v>
                </c:pt>
                <c:pt idx="16">
                  <c:v>Agbo </c:v>
                </c:pt>
                <c:pt idx="17">
                  <c:v>Amankwah</c:v>
                </c:pt>
                <c:pt idx="18">
                  <c:v>Adom</c:v>
                </c:pt>
                <c:pt idx="19">
                  <c:v>Osei</c:v>
                </c:pt>
              </c:strCache>
            </c:strRef>
          </c:cat>
          <c:val>
            <c:numRef>
              <c:f>Sheet1!$C$4:$C$23</c:f>
              <c:numCache>
                <c:formatCode>General</c:formatCode>
                <c:ptCount val="20"/>
                <c:pt idx="0">
                  <c:v>32</c:v>
                </c:pt>
                <c:pt idx="1">
                  <c:v>45</c:v>
                </c:pt>
                <c:pt idx="2">
                  <c:v>45</c:v>
                </c:pt>
                <c:pt idx="3">
                  <c:v>30</c:v>
                </c:pt>
                <c:pt idx="4">
                  <c:v>21</c:v>
                </c:pt>
                <c:pt idx="5">
                  <c:v>47</c:v>
                </c:pt>
                <c:pt idx="6">
                  <c:v>41</c:v>
                </c:pt>
                <c:pt idx="7">
                  <c:v>36</c:v>
                </c:pt>
                <c:pt idx="8">
                  <c:v>11</c:v>
                </c:pt>
                <c:pt idx="9">
                  <c:v>25</c:v>
                </c:pt>
                <c:pt idx="10">
                  <c:v>38</c:v>
                </c:pt>
                <c:pt idx="11">
                  <c:v>40</c:v>
                </c:pt>
                <c:pt idx="12">
                  <c:v>19</c:v>
                </c:pt>
                <c:pt idx="13">
                  <c:v>29</c:v>
                </c:pt>
                <c:pt idx="14">
                  <c:v>30</c:v>
                </c:pt>
                <c:pt idx="15">
                  <c:v>44</c:v>
                </c:pt>
                <c:pt idx="16">
                  <c:v>37</c:v>
                </c:pt>
                <c:pt idx="17">
                  <c:v>41</c:v>
                </c:pt>
                <c:pt idx="18">
                  <c:v>9</c:v>
                </c:pt>
                <c:pt idx="1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1-4E6F-BC8F-97BBA49A2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7676088"/>
        <c:axId val="627674648"/>
      </c:barChart>
      <c:valAx>
        <c:axId val="627674648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%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27676088"/>
        <c:crosses val="autoZero"/>
        <c:crossBetween val="between"/>
      </c:valAx>
      <c:catAx>
        <c:axId val="627676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%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27674648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%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%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%">
                <a:solidFill>
                  <a:srgbClr val="595959"/>
                </a:solidFill>
                <a:latin typeface="Calibri"/>
              </a:defRPr>
            </a:pPr>
            <a:r>
              <a:rPr lang="en-US" sz="1400" b="0" i="0" u="none" strike="noStrike" kern="1200" cap="none" spc="0" baseline="0%">
                <a:solidFill>
                  <a:srgbClr val="595959"/>
                </a:solidFill>
                <a:uFillTx/>
                <a:latin typeface="Calibri"/>
              </a:rPr>
              <a:t>Philosophy Test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</c:spPr>
          <c:invertIfNegative val="0"/>
          <c:cat>
            <c:strRef>
              <c:f>Sheet1!$A$4:$A$23</c:f>
              <c:strCache>
                <c:ptCount val="20"/>
                <c:pt idx="0">
                  <c:v>Agbo </c:v>
                </c:pt>
                <c:pt idx="1">
                  <c:v>Wells</c:v>
                </c:pt>
                <c:pt idx="2">
                  <c:v>Akuffo</c:v>
                </c:pt>
                <c:pt idx="3">
                  <c:v>Okata</c:v>
                </c:pt>
                <c:pt idx="4">
                  <c:v>Asare</c:v>
                </c:pt>
                <c:pt idx="5">
                  <c:v>Boadi</c:v>
                </c:pt>
                <c:pt idx="6">
                  <c:v>Tabiri</c:v>
                </c:pt>
                <c:pt idx="7">
                  <c:v>Mensah</c:v>
                </c:pt>
                <c:pt idx="8">
                  <c:v>Addo</c:v>
                </c:pt>
                <c:pt idx="9">
                  <c:v>Adwutwumwaa</c:v>
                </c:pt>
                <c:pt idx="10">
                  <c:v>Agyei</c:v>
                </c:pt>
                <c:pt idx="11">
                  <c:v>Agyei</c:v>
                </c:pt>
                <c:pt idx="12">
                  <c:v>Agbo </c:v>
                </c:pt>
                <c:pt idx="13">
                  <c:v>Agbo </c:v>
                </c:pt>
                <c:pt idx="14">
                  <c:v>Agbo </c:v>
                </c:pt>
                <c:pt idx="15">
                  <c:v>Agbo </c:v>
                </c:pt>
                <c:pt idx="16">
                  <c:v>Agbo </c:v>
                </c:pt>
                <c:pt idx="17">
                  <c:v>Amankwah</c:v>
                </c:pt>
                <c:pt idx="18">
                  <c:v>Adom</c:v>
                </c:pt>
                <c:pt idx="19">
                  <c:v>Osei</c:v>
                </c:pt>
              </c:strCache>
            </c:strRef>
          </c:cat>
          <c:val>
            <c:numRef>
              <c:f>Sheet1!$D$4:$D$23</c:f>
              <c:numCache>
                <c:formatCode>General</c:formatCode>
                <c:ptCount val="20"/>
                <c:pt idx="0">
                  <c:v>18</c:v>
                </c:pt>
                <c:pt idx="1">
                  <c:v>12</c:v>
                </c:pt>
                <c:pt idx="2">
                  <c:v>17</c:v>
                </c:pt>
                <c:pt idx="3">
                  <c:v>15</c:v>
                </c:pt>
                <c:pt idx="4">
                  <c:v>11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10</c:v>
                </c:pt>
                <c:pt idx="9">
                  <c:v>6</c:v>
                </c:pt>
                <c:pt idx="10">
                  <c:v>8</c:v>
                </c:pt>
                <c:pt idx="11">
                  <c:v>16</c:v>
                </c:pt>
                <c:pt idx="12">
                  <c:v>8</c:v>
                </c:pt>
                <c:pt idx="13">
                  <c:v>15</c:v>
                </c:pt>
                <c:pt idx="14">
                  <c:v>12</c:v>
                </c:pt>
                <c:pt idx="15">
                  <c:v>17</c:v>
                </c:pt>
                <c:pt idx="16">
                  <c:v>10</c:v>
                </c:pt>
                <c:pt idx="17">
                  <c:v>16</c:v>
                </c:pt>
                <c:pt idx="18">
                  <c:v>15</c:v>
                </c:pt>
                <c:pt idx="1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6-4FE0-8E22-857844D5A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789912"/>
        <c:axId val="632790272"/>
      </c:barChart>
      <c:valAx>
        <c:axId val="632790272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%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32789912"/>
        <c:crosses val="autoZero"/>
        <c:crossBetween val="between"/>
      </c:valAx>
      <c:catAx>
        <c:axId val="63278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%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32790272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%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%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%">
                <a:solidFill>
                  <a:srgbClr val="595959"/>
                </a:solidFill>
                <a:latin typeface="Calibri"/>
              </a:defRPr>
            </a:pPr>
            <a:r>
              <a:rPr lang="en-US" sz="1400" b="0" i="0" u="none" strike="noStrike" kern="1200" cap="none" spc="0" baseline="0%">
                <a:solidFill>
                  <a:srgbClr val="595959"/>
                </a:solidFill>
                <a:uFillTx/>
                <a:latin typeface="Calibri"/>
              </a:rPr>
              <a:t>Financial test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</c:spPr>
          <c:invertIfNegative val="0"/>
          <c:cat>
            <c:strRef>
              <c:f>Sheet1!$A$4:$A$23</c:f>
              <c:strCache>
                <c:ptCount val="20"/>
                <c:pt idx="0">
                  <c:v>Agbo </c:v>
                </c:pt>
                <c:pt idx="1">
                  <c:v>Wells</c:v>
                </c:pt>
                <c:pt idx="2">
                  <c:v>Akuffo</c:v>
                </c:pt>
                <c:pt idx="3">
                  <c:v>Okata</c:v>
                </c:pt>
                <c:pt idx="4">
                  <c:v>Asare</c:v>
                </c:pt>
                <c:pt idx="5">
                  <c:v>Boadi</c:v>
                </c:pt>
                <c:pt idx="6">
                  <c:v>Tabiri</c:v>
                </c:pt>
                <c:pt idx="7">
                  <c:v>Mensah</c:v>
                </c:pt>
                <c:pt idx="8">
                  <c:v>Addo</c:v>
                </c:pt>
                <c:pt idx="9">
                  <c:v>Adwutwumwaa</c:v>
                </c:pt>
                <c:pt idx="10">
                  <c:v>Agyei</c:v>
                </c:pt>
                <c:pt idx="11">
                  <c:v>Agyei</c:v>
                </c:pt>
                <c:pt idx="12">
                  <c:v>Agbo </c:v>
                </c:pt>
                <c:pt idx="13">
                  <c:v>Agbo </c:v>
                </c:pt>
                <c:pt idx="14">
                  <c:v>Agbo </c:v>
                </c:pt>
                <c:pt idx="15">
                  <c:v>Agbo </c:v>
                </c:pt>
                <c:pt idx="16">
                  <c:v>Agbo </c:v>
                </c:pt>
                <c:pt idx="17">
                  <c:v>Amankwah</c:v>
                </c:pt>
                <c:pt idx="18">
                  <c:v>Adom</c:v>
                </c:pt>
                <c:pt idx="19">
                  <c:v>Osei</c:v>
                </c:pt>
              </c:strCache>
            </c:strRef>
          </c:cat>
          <c:val>
            <c:numRef>
              <c:f>Sheet1!$E$4:$E$23</c:f>
              <c:numCache>
                <c:formatCode>General</c:formatCode>
                <c:ptCount val="20"/>
                <c:pt idx="0">
                  <c:v>83</c:v>
                </c:pt>
                <c:pt idx="1">
                  <c:v>76</c:v>
                </c:pt>
                <c:pt idx="2">
                  <c:v>80</c:v>
                </c:pt>
                <c:pt idx="3">
                  <c:v>92</c:v>
                </c:pt>
                <c:pt idx="4">
                  <c:v>64</c:v>
                </c:pt>
                <c:pt idx="5">
                  <c:v>41</c:v>
                </c:pt>
                <c:pt idx="6">
                  <c:v>39</c:v>
                </c:pt>
                <c:pt idx="7">
                  <c:v>46</c:v>
                </c:pt>
                <c:pt idx="8">
                  <c:v>77</c:v>
                </c:pt>
                <c:pt idx="9">
                  <c:v>74</c:v>
                </c:pt>
                <c:pt idx="10">
                  <c:v>82</c:v>
                </c:pt>
                <c:pt idx="11">
                  <c:v>73</c:v>
                </c:pt>
                <c:pt idx="12">
                  <c:v>95</c:v>
                </c:pt>
                <c:pt idx="13">
                  <c:v>70</c:v>
                </c:pt>
                <c:pt idx="14">
                  <c:v>54</c:v>
                </c:pt>
                <c:pt idx="15">
                  <c:v>65</c:v>
                </c:pt>
                <c:pt idx="16">
                  <c:v>76</c:v>
                </c:pt>
                <c:pt idx="17">
                  <c:v>85</c:v>
                </c:pt>
                <c:pt idx="18">
                  <c:v>88</c:v>
                </c:pt>
                <c:pt idx="19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C-40C0-9402-53B2A8712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788472"/>
        <c:axId val="632787752"/>
      </c:barChart>
      <c:valAx>
        <c:axId val="632787752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%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32788472"/>
        <c:crosses val="autoZero"/>
        <c:crossBetween val="between"/>
      </c:valAx>
      <c:catAx>
        <c:axId val="632788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%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32787752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%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%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2000" b="0" i="0" u="none" strike="noStrike" kern="1200" cap="none" spc="0" baseline="0%">
                <a:solidFill>
                  <a:srgbClr val="595959"/>
                </a:solidFill>
                <a:latin typeface="Calibri Light"/>
              </a:defRPr>
            </a:pPr>
            <a:r>
              <a:rPr lang="en-US" sz="2000" b="0" i="0" u="none" strike="noStrike" kern="1200" cap="none" spc="0" baseline="0%">
                <a:solidFill>
                  <a:srgbClr val="595959"/>
                </a:solidFill>
                <a:uFillTx/>
                <a:latin typeface="Calibri Light"/>
              </a:rPr>
              <a:t>Drug Test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AD47"/>
            </a:solidFill>
            <a:ln>
              <a:noFill/>
            </a:ln>
          </c:spPr>
          <c:invertIfNegative val="0"/>
          <c:cat>
            <c:strRef>
              <c:f>Sheet1!$A$4:$A$23</c:f>
              <c:strCache>
                <c:ptCount val="20"/>
                <c:pt idx="0">
                  <c:v>Agbo </c:v>
                </c:pt>
                <c:pt idx="1">
                  <c:v>Wells</c:v>
                </c:pt>
                <c:pt idx="2">
                  <c:v>Akuffo</c:v>
                </c:pt>
                <c:pt idx="3">
                  <c:v>Okata</c:v>
                </c:pt>
                <c:pt idx="4">
                  <c:v>Asare</c:v>
                </c:pt>
                <c:pt idx="5">
                  <c:v>Boadi</c:v>
                </c:pt>
                <c:pt idx="6">
                  <c:v>Tabiri</c:v>
                </c:pt>
                <c:pt idx="7">
                  <c:v>Mensah</c:v>
                </c:pt>
                <c:pt idx="8">
                  <c:v>Addo</c:v>
                </c:pt>
                <c:pt idx="9">
                  <c:v>Adwutwumwaa</c:v>
                </c:pt>
                <c:pt idx="10">
                  <c:v>Agyei</c:v>
                </c:pt>
                <c:pt idx="11">
                  <c:v>Agyei</c:v>
                </c:pt>
                <c:pt idx="12">
                  <c:v>Agbo </c:v>
                </c:pt>
                <c:pt idx="13">
                  <c:v>Agbo </c:v>
                </c:pt>
                <c:pt idx="14">
                  <c:v>Agbo </c:v>
                </c:pt>
                <c:pt idx="15">
                  <c:v>Agbo </c:v>
                </c:pt>
                <c:pt idx="16">
                  <c:v>Agbo </c:v>
                </c:pt>
                <c:pt idx="17">
                  <c:v>Amankwah</c:v>
                </c:pt>
                <c:pt idx="18">
                  <c:v>Adom</c:v>
                </c:pt>
                <c:pt idx="19">
                  <c:v>Osei</c:v>
                </c:pt>
              </c:strCache>
            </c:strRef>
          </c:cat>
          <c:val>
            <c:numRef>
              <c:f>Sheet1!$F$4:$F$23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7-473D-A05F-AB9BE1FB0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512050432"/>
        <c:axId val="512051872"/>
      </c:barChart>
      <c:valAx>
        <c:axId val="512051872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528" cap="flat">
              <a:solidFill>
                <a:srgbClr val="F2F2F2"/>
              </a:solidFill>
              <a:prstDash val="solid"/>
              <a:round/>
            </a:ln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%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050432"/>
        <c:crosses val="autoZero"/>
        <c:crossBetween val="between"/>
      </c:valAx>
      <c:catAx>
        <c:axId val="51205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cap="none" spc="0" baseline="0%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051872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%"/>
        </a:lnSpc>
        <a:spcBef>
          <a:spcPts val="0"/>
        </a:spcBef>
        <a:spcAft>
          <a:spcPts val="0"/>
        </a:spcAft>
        <a:tabLst/>
        <a:defRPr lang="en-US" sz="900" b="0" i="0" u="none" strike="noStrike" kern="1200" baseline="0%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Relationship Id="rId4" Type="http://purl.oclc.org/ooxml/officeDocument/relationships/chart" Target="../charts/chart4.xml"/></Relationships>
</file>

<file path=xl/drawings/drawing1.xml><?xml version="1.0" encoding="utf-8"?>
<xdr:wsDr xmlns:xdr="http://purl.oclc.org/ooxml/drawingml/spreadsheetDrawing" xmlns:a="http://purl.oclc.org/ooxml/drawingml/main">
  <xdr:oneCellAnchor>
    <xdr:from>
      <xdr:col>14</xdr:col>
      <xdr:colOff>552453</xdr:colOff>
      <xdr:row>1</xdr:row>
      <xdr:rowOff>14282</xdr:rowOff>
    </xdr:from>
    <xdr:ext cx="4300532" cy="27432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B1DED0E-9867-0E3D-85A3-F79AA91A0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oneCellAnchor>
  <xdr:oneCellAnchor>
    <xdr:from>
      <xdr:col>14</xdr:col>
      <xdr:colOff>542925</xdr:colOff>
      <xdr:row>15</xdr:row>
      <xdr:rowOff>80960</xdr:rowOff>
    </xdr:from>
    <xdr:ext cx="4305296" cy="2743200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B37BC0D-2CAB-9423-51CD-35BBFEA5B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oneCellAnchor>
  <xdr:oneCellAnchor>
    <xdr:from>
      <xdr:col>22</xdr:col>
      <xdr:colOff>38103</xdr:colOff>
      <xdr:row>1</xdr:row>
      <xdr:rowOff>14282</xdr:rowOff>
    </xdr:from>
    <xdr:ext cx="4286249" cy="2743200"/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A7A891BA-D5AB-247D-ED62-E6066E226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oneCellAnchor>
  <xdr:oneCellAnchor>
    <xdr:from>
      <xdr:col>22</xdr:col>
      <xdr:colOff>28575</xdr:colOff>
      <xdr:row>15</xdr:row>
      <xdr:rowOff>109535</xdr:rowOff>
    </xdr:from>
    <xdr:ext cx="4352928" cy="2743200"/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C8287CC1-D924-8E42-4E33-1CC099D37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one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C27D-1545-4B34-AD83-BDF20356718D}">
  <sheetPr>
    <pageSetUpPr fitToPage="1"/>
  </sheetPr>
  <dimension ref="A1:M27"/>
  <sheetViews>
    <sheetView tabSelected="1" workbookViewId="0"/>
  </sheetViews>
  <sheetFormatPr defaultRowHeight="15" x14ac:dyDescent="0.25"/>
  <cols>
    <col min="1" max="1" width="13.5703125" customWidth="1"/>
    <col min="2" max="2" width="11.85546875" customWidth="1"/>
    <col min="3" max="3" width="6.28515625" customWidth="1"/>
    <col min="4" max="4" width="5.140625" customWidth="1"/>
    <col min="5" max="5" width="6" customWidth="1"/>
    <col min="6" max="6" width="4.85546875" customWidth="1"/>
    <col min="7" max="8" width="9.140625" customWidth="1"/>
    <col min="9" max="9" width="7" customWidth="1"/>
    <col min="10" max="10" width="7.140625" customWidth="1"/>
    <col min="11" max="11" width="6.85546875" customWidth="1"/>
    <col min="12" max="12" width="9.140625" customWidth="1"/>
  </cols>
  <sheetData>
    <row r="1" spans="1:13" ht="79.5" x14ac:dyDescent="0.25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</row>
    <row r="2" spans="1:13" ht="15.75" x14ac:dyDescent="0.25">
      <c r="A2" s="1"/>
      <c r="B2" s="3" t="s">
        <v>7</v>
      </c>
      <c r="C2" s="3">
        <v>50</v>
      </c>
      <c r="D2">
        <v>20</v>
      </c>
      <c r="E2">
        <v>100</v>
      </c>
      <c r="F2">
        <v>1</v>
      </c>
    </row>
    <row r="3" spans="1:13" ht="15.75" x14ac:dyDescent="0.25">
      <c r="A3" s="1" t="s">
        <v>8</v>
      </c>
      <c r="B3" s="1" t="s">
        <v>9</v>
      </c>
      <c r="C3" s="3"/>
    </row>
    <row r="4" spans="1:13" x14ac:dyDescent="0.25">
      <c r="A4" s="3" t="s">
        <v>10</v>
      </c>
      <c r="B4" s="3" t="s">
        <v>11</v>
      </c>
      <c r="C4">
        <v>32</v>
      </c>
      <c r="D4">
        <v>18</v>
      </c>
      <c r="E4">
        <v>83</v>
      </c>
      <c r="F4">
        <v>1</v>
      </c>
      <c r="H4" s="4">
        <f t="shared" ref="H4:H23" si="0">C4/C$2</f>
        <v>0.64</v>
      </c>
      <c r="I4" s="4">
        <f t="shared" ref="I4:I23" si="1">D4/D$2</f>
        <v>0.9</v>
      </c>
      <c r="J4" s="4">
        <f t="shared" ref="J4:J23" si="2">E4/E$2</f>
        <v>0.83</v>
      </c>
      <c r="K4" s="4">
        <f t="shared" ref="K4:K23" si="3">F4/F$2</f>
        <v>1</v>
      </c>
      <c r="L4" s="5">
        <f t="shared" ref="L4:L23" si="4">AVERAGE(H4:K4)</f>
        <v>0.84250000000000003</v>
      </c>
      <c r="M4" s="4" t="b">
        <f t="shared" ref="M4:M23" si="5">OR(H4&lt;0.5,I4&lt;0.5,J4&lt;0.5,K4&lt;0.5)</f>
        <v>0</v>
      </c>
    </row>
    <row r="5" spans="1:13" x14ac:dyDescent="0.25">
      <c r="A5" s="3" t="s">
        <v>12</v>
      </c>
      <c r="B5" s="3" t="s">
        <v>13</v>
      </c>
      <c r="C5">
        <v>45</v>
      </c>
      <c r="D5">
        <v>12</v>
      </c>
      <c r="E5">
        <v>76</v>
      </c>
      <c r="F5">
        <v>1</v>
      </c>
      <c r="H5" s="4">
        <f t="shared" si="0"/>
        <v>0.9</v>
      </c>
      <c r="I5" s="4">
        <f t="shared" si="1"/>
        <v>0.6</v>
      </c>
      <c r="J5" s="4">
        <f t="shared" si="2"/>
        <v>0.76</v>
      </c>
      <c r="K5" s="4">
        <f t="shared" si="3"/>
        <v>1</v>
      </c>
      <c r="L5" s="5">
        <f t="shared" si="4"/>
        <v>0.81499999999999995</v>
      </c>
      <c r="M5" s="4" t="b">
        <f t="shared" si="5"/>
        <v>0</v>
      </c>
    </row>
    <row r="6" spans="1:13" x14ac:dyDescent="0.25">
      <c r="A6" s="3" t="s">
        <v>14</v>
      </c>
      <c r="B6" s="3" t="s">
        <v>15</v>
      </c>
      <c r="C6">
        <v>45</v>
      </c>
      <c r="D6">
        <v>17</v>
      </c>
      <c r="E6">
        <v>80</v>
      </c>
      <c r="F6">
        <v>0</v>
      </c>
      <c r="H6" s="4">
        <f t="shared" si="0"/>
        <v>0.9</v>
      </c>
      <c r="I6" s="4">
        <f t="shared" si="1"/>
        <v>0.85</v>
      </c>
      <c r="J6" s="4">
        <f t="shared" si="2"/>
        <v>0.8</v>
      </c>
      <c r="K6" s="4">
        <f t="shared" si="3"/>
        <v>0</v>
      </c>
      <c r="L6" s="5">
        <f t="shared" si="4"/>
        <v>0.63749999999999996</v>
      </c>
      <c r="M6" s="4" t="b">
        <f t="shared" si="5"/>
        <v>1</v>
      </c>
    </row>
    <row r="7" spans="1:13" x14ac:dyDescent="0.25">
      <c r="A7" s="3" t="s">
        <v>16</v>
      </c>
      <c r="B7" s="3" t="s">
        <v>17</v>
      </c>
      <c r="C7">
        <v>30</v>
      </c>
      <c r="D7">
        <v>15</v>
      </c>
      <c r="E7">
        <v>92</v>
      </c>
      <c r="F7">
        <v>1</v>
      </c>
      <c r="H7" s="4">
        <f t="shared" si="0"/>
        <v>0.6</v>
      </c>
      <c r="I7" s="4">
        <f t="shared" si="1"/>
        <v>0.75</v>
      </c>
      <c r="J7" s="4">
        <f t="shared" si="2"/>
        <v>0.92</v>
      </c>
      <c r="K7" s="4">
        <f t="shared" si="3"/>
        <v>1</v>
      </c>
      <c r="L7" s="5">
        <f t="shared" si="4"/>
        <v>0.8175</v>
      </c>
      <c r="M7" s="4" t="b">
        <f t="shared" si="5"/>
        <v>0</v>
      </c>
    </row>
    <row r="8" spans="1:13" x14ac:dyDescent="0.25">
      <c r="A8" s="3" t="s">
        <v>18</v>
      </c>
      <c r="B8" s="3" t="s">
        <v>19</v>
      </c>
      <c r="C8">
        <v>21</v>
      </c>
      <c r="D8">
        <v>11</v>
      </c>
      <c r="E8">
        <v>64</v>
      </c>
      <c r="F8">
        <v>1</v>
      </c>
      <c r="H8" s="4">
        <f t="shared" si="0"/>
        <v>0.42</v>
      </c>
      <c r="I8" s="4">
        <f t="shared" si="1"/>
        <v>0.55000000000000004</v>
      </c>
      <c r="J8" s="4">
        <f t="shared" si="2"/>
        <v>0.64</v>
      </c>
      <c r="K8" s="4">
        <f t="shared" si="3"/>
        <v>1</v>
      </c>
      <c r="L8" s="5">
        <f t="shared" si="4"/>
        <v>0.65249999999999997</v>
      </c>
      <c r="M8" s="4" t="b">
        <f t="shared" si="5"/>
        <v>1</v>
      </c>
    </row>
    <row r="9" spans="1:13" x14ac:dyDescent="0.25">
      <c r="A9" s="3" t="s">
        <v>20</v>
      </c>
      <c r="B9" s="3" t="s">
        <v>21</v>
      </c>
      <c r="C9">
        <v>47</v>
      </c>
      <c r="D9">
        <v>15</v>
      </c>
      <c r="E9">
        <v>41</v>
      </c>
      <c r="F9">
        <v>1</v>
      </c>
      <c r="H9" s="4">
        <f t="shared" si="0"/>
        <v>0.94</v>
      </c>
      <c r="I9" s="4">
        <f t="shared" si="1"/>
        <v>0.75</v>
      </c>
      <c r="J9" s="4">
        <f t="shared" si="2"/>
        <v>0.41</v>
      </c>
      <c r="K9" s="4">
        <f t="shared" si="3"/>
        <v>1</v>
      </c>
      <c r="L9" s="5">
        <f t="shared" si="4"/>
        <v>0.77500000000000002</v>
      </c>
      <c r="M9" s="4" t="b">
        <f t="shared" si="5"/>
        <v>1</v>
      </c>
    </row>
    <row r="10" spans="1:13" x14ac:dyDescent="0.25">
      <c r="A10" s="3" t="s">
        <v>22</v>
      </c>
      <c r="B10" s="3" t="s">
        <v>23</v>
      </c>
      <c r="C10">
        <v>41</v>
      </c>
      <c r="D10">
        <v>14</v>
      </c>
      <c r="E10">
        <v>39</v>
      </c>
      <c r="F10">
        <v>0</v>
      </c>
      <c r="H10" s="4">
        <f t="shared" si="0"/>
        <v>0.82</v>
      </c>
      <c r="I10" s="4">
        <f t="shared" si="1"/>
        <v>0.7</v>
      </c>
      <c r="J10" s="4">
        <f t="shared" si="2"/>
        <v>0.39</v>
      </c>
      <c r="K10" s="4">
        <f t="shared" si="3"/>
        <v>0</v>
      </c>
      <c r="L10" s="5">
        <f t="shared" si="4"/>
        <v>0.47750000000000004</v>
      </c>
      <c r="M10" s="4" t="b">
        <f t="shared" si="5"/>
        <v>1</v>
      </c>
    </row>
    <row r="11" spans="1:13" x14ac:dyDescent="0.25">
      <c r="A11" s="3" t="s">
        <v>24</v>
      </c>
      <c r="B11" s="3" t="s">
        <v>17</v>
      </c>
      <c r="C11">
        <v>36</v>
      </c>
      <c r="D11">
        <v>13</v>
      </c>
      <c r="E11">
        <v>46</v>
      </c>
      <c r="F11">
        <v>1</v>
      </c>
      <c r="H11" s="4">
        <f t="shared" si="0"/>
        <v>0.72</v>
      </c>
      <c r="I11" s="4">
        <f t="shared" si="1"/>
        <v>0.65</v>
      </c>
      <c r="J11" s="4">
        <f t="shared" si="2"/>
        <v>0.46</v>
      </c>
      <c r="K11" s="4">
        <f t="shared" si="3"/>
        <v>1</v>
      </c>
      <c r="L11" s="5">
        <f t="shared" si="4"/>
        <v>0.70750000000000002</v>
      </c>
      <c r="M11" s="4" t="b">
        <f t="shared" si="5"/>
        <v>1</v>
      </c>
    </row>
    <row r="12" spans="1:13" x14ac:dyDescent="0.25">
      <c r="A12" s="3" t="s">
        <v>25</v>
      </c>
      <c r="B12" s="3" t="s">
        <v>26</v>
      </c>
      <c r="C12">
        <v>11</v>
      </c>
      <c r="D12">
        <v>10</v>
      </c>
      <c r="E12">
        <v>77</v>
      </c>
      <c r="F12">
        <v>1</v>
      </c>
      <c r="H12" s="4">
        <f t="shared" si="0"/>
        <v>0.22</v>
      </c>
      <c r="I12" s="4">
        <f t="shared" si="1"/>
        <v>0.5</v>
      </c>
      <c r="J12" s="4">
        <f t="shared" si="2"/>
        <v>0.77</v>
      </c>
      <c r="K12" s="4">
        <f t="shared" si="3"/>
        <v>1</v>
      </c>
      <c r="L12" s="5">
        <f t="shared" si="4"/>
        <v>0.62250000000000005</v>
      </c>
      <c r="M12" s="4" t="b">
        <f t="shared" si="5"/>
        <v>1</v>
      </c>
    </row>
    <row r="13" spans="1:13" x14ac:dyDescent="0.25">
      <c r="A13" s="3" t="s">
        <v>27</v>
      </c>
      <c r="B13" s="3" t="s">
        <v>28</v>
      </c>
      <c r="C13">
        <v>25</v>
      </c>
      <c r="D13">
        <v>6</v>
      </c>
      <c r="E13">
        <v>74</v>
      </c>
      <c r="F13">
        <v>1</v>
      </c>
      <c r="H13" s="4">
        <f t="shared" si="0"/>
        <v>0.5</v>
      </c>
      <c r="I13" s="4">
        <f t="shared" si="1"/>
        <v>0.3</v>
      </c>
      <c r="J13" s="4">
        <f t="shared" si="2"/>
        <v>0.74</v>
      </c>
      <c r="K13" s="4">
        <f t="shared" si="3"/>
        <v>1</v>
      </c>
      <c r="L13" s="5">
        <f t="shared" si="4"/>
        <v>0.63500000000000001</v>
      </c>
      <c r="M13" s="4" t="b">
        <f t="shared" si="5"/>
        <v>1</v>
      </c>
    </row>
    <row r="14" spans="1:13" x14ac:dyDescent="0.25">
      <c r="A14" s="3" t="s">
        <v>29</v>
      </c>
      <c r="B14" s="3" t="s">
        <v>30</v>
      </c>
      <c r="C14">
        <v>38</v>
      </c>
      <c r="D14">
        <v>8</v>
      </c>
      <c r="E14">
        <v>82</v>
      </c>
      <c r="F14">
        <v>1</v>
      </c>
      <c r="H14" s="4">
        <f t="shared" si="0"/>
        <v>0.76</v>
      </c>
      <c r="I14" s="4">
        <f t="shared" si="1"/>
        <v>0.4</v>
      </c>
      <c r="J14" s="4">
        <f t="shared" si="2"/>
        <v>0.82</v>
      </c>
      <c r="K14" s="4">
        <f t="shared" si="3"/>
        <v>1</v>
      </c>
      <c r="L14" s="5">
        <f t="shared" si="4"/>
        <v>0.745</v>
      </c>
      <c r="M14" s="4" t="b">
        <f t="shared" si="5"/>
        <v>1</v>
      </c>
    </row>
    <row r="15" spans="1:13" x14ac:dyDescent="0.25">
      <c r="A15" s="3" t="s">
        <v>29</v>
      </c>
      <c r="B15" s="3" t="s">
        <v>31</v>
      </c>
      <c r="C15">
        <v>40</v>
      </c>
      <c r="D15">
        <v>16</v>
      </c>
      <c r="E15">
        <v>73</v>
      </c>
      <c r="F15">
        <v>0</v>
      </c>
      <c r="H15" s="4">
        <f t="shared" si="0"/>
        <v>0.8</v>
      </c>
      <c r="I15" s="4">
        <f t="shared" si="1"/>
        <v>0.8</v>
      </c>
      <c r="J15" s="4">
        <f t="shared" si="2"/>
        <v>0.73</v>
      </c>
      <c r="K15" s="4">
        <f t="shared" si="3"/>
        <v>0</v>
      </c>
      <c r="L15" s="5">
        <f t="shared" si="4"/>
        <v>0.58250000000000002</v>
      </c>
      <c r="M15" s="4" t="b">
        <f t="shared" si="5"/>
        <v>1</v>
      </c>
    </row>
    <row r="16" spans="1:13" x14ac:dyDescent="0.25">
      <c r="A16" s="3" t="s">
        <v>10</v>
      </c>
      <c r="B16" s="3" t="s">
        <v>32</v>
      </c>
      <c r="C16">
        <v>19</v>
      </c>
      <c r="D16">
        <v>8</v>
      </c>
      <c r="E16">
        <v>95</v>
      </c>
      <c r="F16">
        <v>1</v>
      </c>
      <c r="H16" s="4">
        <f t="shared" si="0"/>
        <v>0.38</v>
      </c>
      <c r="I16" s="4">
        <f t="shared" si="1"/>
        <v>0.4</v>
      </c>
      <c r="J16" s="4">
        <f t="shared" si="2"/>
        <v>0.95</v>
      </c>
      <c r="K16" s="4">
        <f t="shared" si="3"/>
        <v>1</v>
      </c>
      <c r="L16" s="5">
        <f t="shared" si="4"/>
        <v>0.6825</v>
      </c>
      <c r="M16" s="4" t="b">
        <f t="shared" si="5"/>
        <v>1</v>
      </c>
    </row>
    <row r="17" spans="1:13" x14ac:dyDescent="0.25">
      <c r="A17" s="3" t="s">
        <v>10</v>
      </c>
      <c r="B17" s="3" t="s">
        <v>33</v>
      </c>
      <c r="C17">
        <v>29</v>
      </c>
      <c r="D17">
        <v>15</v>
      </c>
      <c r="E17">
        <v>70</v>
      </c>
      <c r="F17">
        <v>1</v>
      </c>
      <c r="H17" s="4">
        <f t="shared" si="0"/>
        <v>0.57999999999999996</v>
      </c>
      <c r="I17" s="4">
        <f t="shared" si="1"/>
        <v>0.75</v>
      </c>
      <c r="J17" s="4">
        <f t="shared" si="2"/>
        <v>0.7</v>
      </c>
      <c r="K17" s="4">
        <f t="shared" si="3"/>
        <v>1</v>
      </c>
      <c r="L17" s="5">
        <f t="shared" si="4"/>
        <v>0.75750000000000006</v>
      </c>
      <c r="M17" s="4" t="b">
        <f t="shared" si="5"/>
        <v>0</v>
      </c>
    </row>
    <row r="18" spans="1:13" x14ac:dyDescent="0.25">
      <c r="A18" s="3" t="s">
        <v>10</v>
      </c>
      <c r="B18" s="3" t="s">
        <v>34</v>
      </c>
      <c r="C18">
        <v>30</v>
      </c>
      <c r="D18">
        <v>12</v>
      </c>
      <c r="E18">
        <v>54</v>
      </c>
      <c r="F18">
        <v>0</v>
      </c>
      <c r="H18" s="4">
        <f t="shared" si="0"/>
        <v>0.6</v>
      </c>
      <c r="I18" s="4">
        <f t="shared" si="1"/>
        <v>0.6</v>
      </c>
      <c r="J18" s="4">
        <f t="shared" si="2"/>
        <v>0.54</v>
      </c>
      <c r="K18" s="4">
        <f t="shared" si="3"/>
        <v>0</v>
      </c>
      <c r="L18" s="5">
        <f t="shared" si="4"/>
        <v>0.435</v>
      </c>
      <c r="M18" s="4" t="b">
        <f t="shared" si="5"/>
        <v>1</v>
      </c>
    </row>
    <row r="19" spans="1:13" x14ac:dyDescent="0.25">
      <c r="A19" s="3" t="s">
        <v>10</v>
      </c>
      <c r="B19" s="3" t="s">
        <v>35</v>
      </c>
      <c r="C19">
        <v>44</v>
      </c>
      <c r="D19">
        <v>17</v>
      </c>
      <c r="E19">
        <v>65</v>
      </c>
      <c r="F19">
        <v>0</v>
      </c>
      <c r="H19" s="4">
        <f t="shared" si="0"/>
        <v>0.88</v>
      </c>
      <c r="I19" s="4">
        <f t="shared" si="1"/>
        <v>0.85</v>
      </c>
      <c r="J19" s="4">
        <f t="shared" si="2"/>
        <v>0.65</v>
      </c>
      <c r="K19" s="4">
        <f t="shared" si="3"/>
        <v>0</v>
      </c>
      <c r="L19" s="5">
        <f t="shared" si="4"/>
        <v>0.59499999999999997</v>
      </c>
      <c r="M19" s="4" t="b">
        <f t="shared" si="5"/>
        <v>1</v>
      </c>
    </row>
    <row r="20" spans="1:13" x14ac:dyDescent="0.25">
      <c r="A20" s="3" t="s">
        <v>10</v>
      </c>
      <c r="B20" s="3" t="s">
        <v>36</v>
      </c>
      <c r="C20">
        <v>37</v>
      </c>
      <c r="D20">
        <v>10</v>
      </c>
      <c r="E20">
        <v>76</v>
      </c>
      <c r="F20">
        <v>1</v>
      </c>
      <c r="H20" s="4">
        <f t="shared" si="0"/>
        <v>0.74</v>
      </c>
      <c r="I20" s="4">
        <f t="shared" si="1"/>
        <v>0.5</v>
      </c>
      <c r="J20" s="4">
        <f t="shared" si="2"/>
        <v>0.76</v>
      </c>
      <c r="K20" s="4">
        <f t="shared" si="3"/>
        <v>1</v>
      </c>
      <c r="L20" s="5">
        <f t="shared" si="4"/>
        <v>0.75</v>
      </c>
      <c r="M20" s="4" t="b">
        <f t="shared" si="5"/>
        <v>0</v>
      </c>
    </row>
    <row r="21" spans="1:13" x14ac:dyDescent="0.25">
      <c r="A21" s="3" t="s">
        <v>37</v>
      </c>
      <c r="B21" s="3" t="s">
        <v>38</v>
      </c>
      <c r="C21">
        <v>41</v>
      </c>
      <c r="D21">
        <v>16</v>
      </c>
      <c r="E21">
        <v>85</v>
      </c>
      <c r="F21">
        <v>1</v>
      </c>
      <c r="H21" s="4">
        <f t="shared" si="0"/>
        <v>0.82</v>
      </c>
      <c r="I21" s="4">
        <f t="shared" si="1"/>
        <v>0.8</v>
      </c>
      <c r="J21" s="4">
        <f t="shared" si="2"/>
        <v>0.85</v>
      </c>
      <c r="K21" s="4">
        <f t="shared" si="3"/>
        <v>1</v>
      </c>
      <c r="L21" s="5">
        <f t="shared" si="4"/>
        <v>0.86750000000000005</v>
      </c>
      <c r="M21" s="4" t="b">
        <f t="shared" si="5"/>
        <v>0</v>
      </c>
    </row>
    <row r="22" spans="1:13" x14ac:dyDescent="0.25">
      <c r="A22" s="3" t="s">
        <v>39</v>
      </c>
      <c r="B22" s="3" t="s">
        <v>40</v>
      </c>
      <c r="C22">
        <v>9</v>
      </c>
      <c r="D22">
        <v>15</v>
      </c>
      <c r="E22">
        <v>88</v>
      </c>
      <c r="F22">
        <v>1</v>
      </c>
      <c r="H22" s="4">
        <f t="shared" si="0"/>
        <v>0.18</v>
      </c>
      <c r="I22" s="4">
        <f t="shared" si="1"/>
        <v>0.75</v>
      </c>
      <c r="J22" s="4">
        <f t="shared" si="2"/>
        <v>0.88</v>
      </c>
      <c r="K22" s="4">
        <f t="shared" si="3"/>
        <v>1</v>
      </c>
      <c r="L22" s="5">
        <f t="shared" si="4"/>
        <v>0.70250000000000001</v>
      </c>
      <c r="M22" s="4" t="b">
        <f t="shared" si="5"/>
        <v>1</v>
      </c>
    </row>
    <row r="23" spans="1:13" x14ac:dyDescent="0.25">
      <c r="A23" s="3" t="s">
        <v>41</v>
      </c>
      <c r="B23" s="3" t="s">
        <v>42</v>
      </c>
      <c r="C23">
        <v>29</v>
      </c>
      <c r="D23">
        <v>17</v>
      </c>
      <c r="E23">
        <v>73</v>
      </c>
      <c r="F23">
        <v>1</v>
      </c>
      <c r="H23" s="4">
        <f t="shared" si="0"/>
        <v>0.57999999999999996</v>
      </c>
      <c r="I23" s="4">
        <f t="shared" si="1"/>
        <v>0.85</v>
      </c>
      <c r="J23" s="4">
        <f t="shared" si="2"/>
        <v>0.73</v>
      </c>
      <c r="K23" s="4">
        <f t="shared" si="3"/>
        <v>1</v>
      </c>
      <c r="L23" s="5">
        <f t="shared" si="4"/>
        <v>0.79</v>
      </c>
      <c r="M23" s="4" t="b">
        <f t="shared" si="5"/>
        <v>0</v>
      </c>
    </row>
    <row r="25" spans="1:13" x14ac:dyDescent="0.25">
      <c r="A25" s="3" t="s">
        <v>43</v>
      </c>
      <c r="C25">
        <f>MAX(C4:C23)</f>
        <v>47</v>
      </c>
      <c r="D25">
        <f>MAX(D4:D23)</f>
        <v>18</v>
      </c>
      <c r="E25">
        <f>MAX(E4:E23)</f>
        <v>95</v>
      </c>
      <c r="F25">
        <f>MAX(F4:F23)</f>
        <v>1</v>
      </c>
      <c r="H25" s="4">
        <f>MAX(H4:H23)</f>
        <v>0.94</v>
      </c>
      <c r="I25" s="4">
        <f>MAX(I4:I23)</f>
        <v>0.9</v>
      </c>
      <c r="J25" s="4">
        <f>MAX(J4:J23)</f>
        <v>0.95</v>
      </c>
      <c r="K25" s="4">
        <f>MAX(K4:K23)</f>
        <v>1</v>
      </c>
    </row>
    <row r="26" spans="1:13" x14ac:dyDescent="0.25">
      <c r="A26" s="3" t="s">
        <v>44</v>
      </c>
      <c r="C26">
        <f>MIN(C4:C23)</f>
        <v>9</v>
      </c>
      <c r="D26">
        <f>MIN(D4:D23)</f>
        <v>6</v>
      </c>
      <c r="E26">
        <f>MIN(E4:E23)</f>
        <v>39</v>
      </c>
      <c r="F26">
        <f>MIN(F4:F23)</f>
        <v>0</v>
      </c>
      <c r="H26" s="4">
        <f>MIN(H4:H23)</f>
        <v>0.18</v>
      </c>
      <c r="I26" s="4">
        <f>MIN(I4:I23)</f>
        <v>0.3</v>
      </c>
      <c r="J26" s="4">
        <f>MIN(J4:J23)</f>
        <v>0.39</v>
      </c>
      <c r="K26" s="4">
        <f>MIN(K4:K23)</f>
        <v>0</v>
      </c>
    </row>
    <row r="27" spans="1:13" x14ac:dyDescent="0.25">
      <c r="A27" s="3" t="s">
        <v>45</v>
      </c>
      <c r="C27">
        <f>AVERAGE(C4:C23)</f>
        <v>32.450000000000003</v>
      </c>
      <c r="D27">
        <f>AVERAGE(D4:D23)</f>
        <v>13.25</v>
      </c>
      <c r="E27">
        <f>AVERAGE(E4:E23)</f>
        <v>71.650000000000006</v>
      </c>
      <c r="F27">
        <f>AVERAGE(F4:F23)</f>
        <v>0.75</v>
      </c>
      <c r="H27" s="4">
        <f>AVERAGE(H4:H23)</f>
        <v>0.64900000000000013</v>
      </c>
      <c r="I27" s="4">
        <f>AVERAGE(I4:I23)</f>
        <v>0.66249999999999998</v>
      </c>
      <c r="J27" s="4">
        <f>AVERAGE(J4:J23)</f>
        <v>0.71649999999999991</v>
      </c>
      <c r="K27" s="4">
        <f>AVERAGE(K4:K23)</f>
        <v>0.75</v>
      </c>
    </row>
  </sheetData>
  <conditionalFormatting sqref="M4:M23">
    <cfRule type="cellIs" dxfId="2" priority="3" stopIfTrue="1" operator="lessThan">
      <formula>0.5</formula>
    </cfRule>
  </conditionalFormatting>
  <conditionalFormatting sqref="H4:K23">
    <cfRule type="cellIs" dxfId="1" priority="1" stopIfTrue="1" operator="lessThan">
      <formula>0.5</formula>
    </cfRule>
  </conditionalFormatting>
  <conditionalFormatting sqref="M4:M23">
    <cfRule type="cellIs" dxfId="0" priority="2" stopIfTrue="1" operator="equal">
      <formula>TRUE</formula>
    </cfRule>
  </conditionalFormatting>
  <pageMargins left="0.25" right="0.25" top="0.75" bottom="0.75" header="0.30000000000000004" footer="0.30000000000000004"/>
  <pageSetup paperSize="0" fitToHeight="0" orientation="landscape" horizontalDpi="0" verticalDpi="0" copies="0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2025-10-31T12:55:13Z</cp:lastPrinted>
  <dcterms:created xsi:type="dcterms:W3CDTF">2025-10-31T10:26:23Z</dcterms:created>
  <dcterms:modified xsi:type="dcterms:W3CDTF">2025-10-31T17:01:45Z</dcterms:modified>
</cp:coreProperties>
</file>